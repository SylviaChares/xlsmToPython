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ares\Documents\Notebooks\xlsmToPython\inputfiles\"/>
    </mc:Choice>
  </mc:AlternateContent>
  <xr:revisionPtr revIDLastSave="0" documentId="13_ncr:1_{3CCFE929-85E5-4C1F-877B-0392A491B2CE}" xr6:coauthVersionLast="47" xr6:coauthVersionMax="47" xr10:uidLastSave="{00000000-0000-0000-0000-000000000000}"/>
  <bookViews>
    <workbookView xWindow="-38510" yWindow="-110" windowWidth="38620" windowHeight="21100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J58" i="7" s="1"/>
  <c r="I57" i="7"/>
  <c r="J57" i="7" s="1"/>
  <c r="I56" i="7"/>
  <c r="J56" i="7" s="1"/>
  <c r="I55" i="7"/>
  <c r="J55" i="7" s="1"/>
  <c r="I54" i="7"/>
  <c r="J54" i="7" s="1"/>
  <c r="I53" i="7"/>
  <c r="J53" i="7" s="1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J46" i="7" s="1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K5" i="7" a="1"/>
  <c r="K5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49" i="7" a="1"/>
  <c r="B48" i="7" a="1"/>
  <c r="B47" i="7" a="1"/>
  <c r="B50" i="7" a="1"/>
  <c r="B51" i="7" a="1"/>
  <c r="D54" i="7" a="1"/>
  <c r="D17" i="7" a="1"/>
  <c r="D18" i="7" a="1"/>
  <c r="D19" i="7" a="1"/>
  <c r="C60" i="7" a="1"/>
  <c r="D38" i="7" a="1"/>
  <c r="C39" i="7" a="1"/>
  <c r="B34" i="7" a="1"/>
  <c r="C40" i="7" a="1"/>
  <c r="D61" i="7" a="1"/>
  <c r="C44" i="7" a="1"/>
  <c r="C49" i="7" a="1"/>
  <c r="D23" i="7" a="1"/>
  <c r="B22" i="7" a="1"/>
  <c r="C55" i="7" a="1"/>
  <c r="C63" i="7" a="1"/>
  <c r="C57" i="7" a="1"/>
  <c r="C52" i="7" a="1"/>
  <c r="D64" i="7" a="1"/>
  <c r="D53" i="7" a="1"/>
  <c r="D60" i="7" a="1"/>
  <c r="C34" i="7" a="1"/>
  <c r="B44" i="7" a="1"/>
  <c r="D30" i="7" a="1"/>
  <c r="D42" i="7" a="1"/>
  <c r="D34" i="7" a="1"/>
  <c r="D45" i="7" a="1"/>
  <c r="C19" i="7" a="1"/>
  <c r="D20" i="7" a="1"/>
  <c r="D55" i="7" a="1"/>
  <c r="C17" i="7" a="1"/>
  <c r="D48" i="7" a="1"/>
  <c r="D46" i="7" a="1"/>
  <c r="C22" i="7" a="1"/>
  <c r="C23" i="7" a="1"/>
  <c r="D51" i="7" a="1"/>
  <c r="D41" i="7" a="1"/>
  <c r="B42" i="7" a="1"/>
  <c r="D65" i="7" a="1"/>
  <c r="C64" i="7" a="1"/>
  <c r="C48" i="7" a="1"/>
  <c r="B25" i="7" a="1"/>
  <c r="C27" i="7" a="1"/>
  <c r="D31" i="7" a="1"/>
  <c r="C42" i="7" a="1"/>
  <c r="B36" i="7" a="1"/>
  <c r="C58" i="7" a="1"/>
  <c r="C28" i="7" a="1"/>
  <c r="D43" i="7" a="1"/>
  <c r="B16" i="7" a="1"/>
  <c r="B37" i="7" a="1"/>
  <c r="B18" i="7" a="1"/>
  <c r="C33" i="7" a="1"/>
  <c r="D56" i="7" a="1"/>
  <c r="D29" i="7" a="1"/>
  <c r="B32" i="7" a="1"/>
  <c r="C65" i="7" a="1"/>
  <c r="C61" i="7" a="1"/>
  <c r="C56" i="7" a="1"/>
  <c r="D62" i="7" a="1"/>
  <c r="D24" i="7" a="1"/>
  <c r="D52" i="7" a="1"/>
  <c r="D35" i="7" a="1"/>
  <c r="D32" i="7" a="1"/>
  <c r="D28" i="7" a="1"/>
  <c r="D59" i="7" a="1"/>
  <c r="B43" i="7" a="1"/>
  <c r="C16" i="7" a="1"/>
  <c r="B28" i="7" a="1"/>
  <c r="D21" i="7" a="1"/>
  <c r="D37" i="7" a="1"/>
  <c r="B26" i="7" a="1"/>
  <c r="C21" i="7" a="1"/>
  <c r="B39" i="7" a="1"/>
  <c r="B19" i="7" a="1"/>
  <c r="D49" i="7" a="1"/>
  <c r="D27" i="7" a="1"/>
  <c r="D63" i="7" a="1"/>
  <c r="B24" i="7" a="1"/>
  <c r="D33" i="7" a="1"/>
  <c r="C31" i="7" a="1"/>
  <c r="C30" i="7" a="1"/>
  <c r="B41" i="7" a="1"/>
  <c r="B21" i="7" a="1"/>
  <c r="D44" i="7" a="1"/>
  <c r="D47" i="7" a="1"/>
  <c r="D57" i="7" a="1"/>
  <c r="B46" i="7" a="1"/>
  <c r="C43" i="7" a="1"/>
  <c r="B33" i="7" a="1"/>
  <c r="C20" i="7" a="1"/>
  <c r="D25" i="7" a="1"/>
  <c r="C45" i="7" a="1"/>
  <c r="C46" i="7" a="1"/>
  <c r="C36" i="7" a="1"/>
  <c r="C25" i="7" a="1"/>
  <c r="C18" i="7" a="1"/>
  <c r="B30" i="7" a="1"/>
  <c r="D50" i="7" a="1"/>
  <c r="D16" i="7" a="1"/>
  <c r="B29" i="7" a="1"/>
  <c r="D36" i="7" a="1"/>
  <c r="C51" i="7" a="1"/>
  <c r="B35" i="7" a="1"/>
  <c r="C29" i="7" a="1"/>
  <c r="B31" i="7" a="1"/>
  <c r="C59" i="7" a="1"/>
  <c r="C35" i="7" a="1"/>
  <c r="K9" i="7" a="1"/>
  <c r="C41" i="7" a="1"/>
  <c r="C50" i="7" a="1"/>
  <c r="C62" i="7" a="1"/>
  <c r="D40" i="7" a="1"/>
  <c r="D39" i="7" a="1"/>
  <c r="D58" i="7" a="1"/>
  <c r="D66" i="7" a="1"/>
  <c r="B27" i="7" a="1"/>
  <c r="B38" i="7" a="1"/>
  <c r="B40" i="7" a="1"/>
  <c r="C53" i="7" a="1"/>
  <c r="C37" i="7" a="1"/>
  <c r="D22" i="7" a="1"/>
  <c r="B17" i="7" a="1"/>
  <c r="C54" i="7" a="1"/>
  <c r="B23" i="7" a="1"/>
  <c r="C66" i="7" a="1"/>
  <c r="D26" i="7" a="1"/>
  <c r="C26" i="7" a="1"/>
  <c r="C32" i="7" a="1"/>
  <c r="B45" i="7" a="1"/>
  <c r="B20" i="7" a="1"/>
  <c r="C47" i="7" a="1"/>
  <c r="C24" i="7" a="1"/>
  <c r="C38" i="7" a="1"/>
  <c r="K9" i="7" l="1"/>
  <c r="B51" i="7"/>
  <c r="B50" i="7"/>
  <c r="B47" i="7"/>
  <c r="B48" i="7"/>
  <c r="B49" i="7"/>
  <c r="B38" i="7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C44" i="7"/>
  <c r="C47" i="7"/>
  <c r="C50" i="7"/>
  <c r="C53" i="7"/>
  <c r="G53" i="7" s="1"/>
  <c r="C56" i="7"/>
  <c r="G56" i="7" s="1"/>
  <c r="C59" i="7"/>
  <c r="G59" i="7" s="1"/>
  <c r="C62" i="7"/>
  <c r="G62" i="7" s="1"/>
  <c r="C65" i="7"/>
  <c r="G65" i="7" s="1"/>
  <c r="C37" i="7"/>
  <c r="G37" i="7" s="1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C51" i="7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17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E16" i="7" a="1"/>
  <c r="G44" i="7" l="1"/>
  <c r="E16" i="7"/>
  <c r="G51" i="7"/>
  <c r="G50" i="7"/>
  <c r="G48" i="7"/>
  <c r="G47" i="7"/>
  <c r="G49" i="7"/>
  <c r="G39" i="7"/>
  <c r="G42" i="7"/>
  <c r="G41" i="7"/>
  <c r="G38" i="7"/>
  <c r="G40" i="7"/>
  <c r="G43" i="7"/>
  <c r="G45" i="7"/>
  <c r="G46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9" i="7" a="1"/>
  <c r="E21" i="7" a="1"/>
  <c r="E60" i="7" a="1"/>
  <c r="E50" i="7" a="1"/>
  <c r="E36" i="7" a="1"/>
  <c r="E17" i="7" a="1"/>
  <c r="E45" i="7" a="1"/>
  <c r="E19" i="7" a="1"/>
  <c r="E48" i="7" a="1"/>
  <c r="E40" i="7" a="1"/>
  <c r="E49" i="7" a="1"/>
  <c r="E60" i="7" l="1"/>
  <c r="E48" i="7"/>
  <c r="E59" i="7"/>
  <c r="E40" i="7"/>
  <c r="E45" i="7"/>
  <c r="E50" i="7"/>
  <c r="E49" i="7"/>
  <c r="E19" i="7"/>
  <c r="E21" i="7"/>
  <c r="E17" i="7"/>
  <c r="E36" i="7"/>
  <c r="E20" i="7" a="1"/>
  <c r="E42" i="7" a="1"/>
  <c r="E32" i="7" a="1"/>
  <c r="E18" i="7" a="1"/>
  <c r="E63" i="7" a="1"/>
  <c r="E25" i="7" a="1"/>
  <c r="E52" i="7" a="1"/>
  <c r="E65" i="7" a="1"/>
  <c r="E46" i="7" a="1"/>
  <c r="E41" i="7" a="1"/>
  <c r="E58" i="7" a="1"/>
  <c r="E56" i="7" a="1"/>
  <c r="E29" i="7" a="1"/>
  <c r="E39" i="7" a="1"/>
  <c r="E30" i="7" a="1"/>
  <c r="E54" i="7" a="1"/>
  <c r="E23" i="7" a="1"/>
  <c r="E62" i="7" a="1"/>
  <c r="E31" i="7" a="1"/>
  <c r="E51" i="7" a="1"/>
  <c r="E53" i="7" a="1"/>
  <c r="E47" i="7" a="1"/>
  <c r="E66" i="7" a="1"/>
  <c r="E27" i="7" a="1"/>
  <c r="E24" i="7" a="1"/>
  <c r="E55" i="7" a="1"/>
  <c r="E37" i="7" a="1"/>
  <c r="E44" i="7" a="1"/>
  <c r="E26" i="7" a="1"/>
  <c r="E35" i="7" a="1"/>
  <c r="E43" i="7" a="1"/>
  <c r="E57" i="7" a="1"/>
  <c r="E22" i="7" a="1"/>
  <c r="E61" i="7" a="1"/>
  <c r="E33" i="7" a="1"/>
  <c r="E64" i="7" a="1"/>
  <c r="E34" i="7" a="1"/>
  <c r="E38" i="7" a="1"/>
  <c r="E28" i="7" a="1"/>
  <c r="E62" i="7" l="1"/>
  <c r="E30" i="7"/>
  <c r="E46" i="7"/>
  <c r="E52" i="7"/>
  <c r="E25" i="7"/>
  <c r="E18" i="7"/>
  <c r="E44" i="7"/>
  <c r="E42" i="7"/>
  <c r="E38" i="7"/>
  <c r="E27" i="7"/>
  <c r="E64" i="7"/>
  <c r="E29" i="7"/>
  <c r="E28" i="7"/>
  <c r="E56" i="7"/>
  <c r="E53" i="7"/>
  <c r="E43" i="7"/>
  <c r="E41" i="7"/>
  <c r="E54" i="7"/>
  <c r="E57" i="7"/>
  <c r="E65" i="7"/>
  <c r="E26" i="7"/>
  <c r="E32" i="7"/>
  <c r="E20" i="7"/>
  <c r="E22" i="7"/>
  <c r="E55" i="7"/>
  <c r="E39" i="7"/>
  <c r="E34" i="7"/>
  <c r="E66" i="7"/>
  <c r="E47" i="7"/>
  <c r="E33" i="7"/>
  <c r="E31" i="7"/>
  <c r="E35" i="7"/>
  <c r="E37" i="7"/>
  <c r="E63" i="7"/>
  <c r="E58" i="7"/>
  <c r="E61" i="7"/>
  <c r="E24" i="7"/>
  <c r="E23" i="7"/>
  <c r="E51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J44" i="7" s="1"/>
  <c r="F42" i="7"/>
  <c r="J42" i="7" s="1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J43" i="7" s="1"/>
  <c r="F29" i="7"/>
  <c r="J29" i="7" s="1"/>
  <c r="F51" i="7"/>
  <c r="F54" i="7"/>
  <c r="F45" i="7"/>
  <c r="J45" i="7" s="1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J41" i="7" s="1"/>
  <c r="H63" i="7" a="1"/>
  <c r="H47" i="7" a="1"/>
  <c r="H56" i="7" a="1"/>
  <c r="H57" i="7" a="1"/>
  <c r="H64" i="7" a="1"/>
  <c r="H42" i="7" a="1"/>
  <c r="H17" i="7" a="1"/>
  <c r="H61" i="7" a="1"/>
  <c r="H50" i="7" a="1"/>
  <c r="H29" i="7" a="1"/>
  <c r="H43" i="7" a="1"/>
  <c r="H31" i="7" a="1"/>
  <c r="H53" i="7" a="1"/>
  <c r="H55" i="7" a="1"/>
  <c r="H49" i="7" a="1"/>
  <c r="H65" i="7" a="1"/>
  <c r="H48" i="7" a="1"/>
  <c r="H60" i="7" a="1"/>
  <c r="H51" i="7" a="1"/>
  <c r="H54" i="7" a="1"/>
  <c r="H65" i="7" l="1"/>
  <c r="K65" i="7" s="1"/>
  <c r="H63" i="7"/>
  <c r="K63" i="7" s="1"/>
  <c r="H64" i="7"/>
  <c r="K64" i="7" s="1"/>
  <c r="H17" i="7"/>
  <c r="L17" i="7" s="1"/>
  <c r="H29" i="7"/>
  <c r="L29" i="7" s="1"/>
  <c r="H57" i="7"/>
  <c r="K57" i="7" s="1"/>
  <c r="H61" i="7"/>
  <c r="K61" i="7" s="1"/>
  <c r="H50" i="7"/>
  <c r="K50" i="7" s="1"/>
  <c r="H48" i="7"/>
  <c r="K48" i="7" s="1"/>
  <c r="H43" i="7"/>
  <c r="K43" i="7" s="1"/>
  <c r="H31" i="7"/>
  <c r="L31" i="7" s="1"/>
  <c r="H56" i="7"/>
  <c r="K56" i="7" s="1"/>
  <c r="H42" i="7"/>
  <c r="K42" i="7" s="1"/>
  <c r="H47" i="7"/>
  <c r="K47" i="7" s="1"/>
  <c r="H55" i="7"/>
  <c r="K55" i="7" s="1"/>
  <c r="H49" i="7"/>
  <c r="K49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37" i="7" a="1"/>
  <c r="H21" i="7" a="1"/>
  <c r="H28" i="7" a="1"/>
  <c r="H32" i="7" a="1"/>
  <c r="H19" i="7" a="1"/>
  <c r="H27" i="7" a="1"/>
  <c r="H30" i="7" a="1"/>
  <c r="H46" i="7" a="1"/>
  <c r="H23" i="7" a="1"/>
  <c r="H45" i="7" a="1"/>
  <c r="H20" i="7" a="1"/>
  <c r="H41" i="7" a="1"/>
  <c r="H59" i="7" a="1"/>
  <c r="H44" i="7" a="1"/>
  <c r="H33" i="7" a="1"/>
  <c r="H35" i="7" a="1"/>
  <c r="H34" i="7" a="1"/>
  <c r="H36" i="7" a="1"/>
  <c r="H39" i="7" a="1"/>
  <c r="H22" i="7" a="1"/>
  <c r="H18" i="7" a="1"/>
  <c r="H58" i="7" a="1"/>
  <c r="H40" i="7" a="1"/>
  <c r="H52" i="7" a="1"/>
  <c r="H24" i="7" a="1"/>
  <c r="H38" i="7" a="1"/>
  <c r="H26" i="7" a="1"/>
  <c r="H25" i="7" a="1"/>
  <c r="H66" i="7" a="1"/>
  <c r="H62" i="7" a="1"/>
  <c r="H35" i="7" l="1"/>
  <c r="L35" i="7" s="1"/>
  <c r="H32" i="7"/>
  <c r="L32" i="7" s="1"/>
  <c r="H37" i="7"/>
  <c r="K37" i="7" s="1"/>
  <c r="H18" i="7"/>
  <c r="L18" i="7" s="1"/>
  <c r="H22" i="7"/>
  <c r="H21" i="7"/>
  <c r="H33" i="7"/>
  <c r="L33" i="7" s="1"/>
  <c r="H38" i="7"/>
  <c r="K38" i="7" s="1"/>
  <c r="H44" i="7"/>
  <c r="K44" i="7" s="1"/>
  <c r="H24" i="7"/>
  <c r="L24" i="7" s="1"/>
  <c r="H41" i="7"/>
  <c r="K41" i="7" s="1"/>
  <c r="H20" i="7"/>
  <c r="H23" i="7"/>
  <c r="H45" i="7"/>
  <c r="K45" i="7" s="1"/>
  <c r="H27" i="7"/>
  <c r="K27" i="7" s="1"/>
  <c r="H28" i="7"/>
  <c r="L28" i="7" s="1"/>
  <c r="H36" i="7"/>
  <c r="K36" i="7" s="1"/>
  <c r="H25" i="7"/>
  <c r="K25" i="7" s="1"/>
  <c r="H39" i="7"/>
  <c r="K39" i="7" s="1"/>
  <c r="H26" i="7"/>
  <c r="L26" i="7" s="1"/>
  <c r="H30" i="7"/>
  <c r="H19" i="7"/>
  <c r="K19" i="7" s="1"/>
  <c r="H34" i="7"/>
  <c r="L34" i="7" s="1"/>
  <c r="K29" i="7"/>
  <c r="K35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H40" i="7"/>
  <c r="K40" i="7" s="1"/>
  <c r="K21" i="7"/>
  <c r="L21" i="7"/>
  <c r="K17" i="7"/>
  <c r="K32" i="7"/>
  <c r="K22" i="7"/>
  <c r="L22" i="7"/>
  <c r="K23" i="7"/>
  <c r="L23" i="7"/>
  <c r="K20" i="7"/>
  <c r="L20" i="7"/>
  <c r="K24" i="7"/>
  <c r="K31" i="7"/>
  <c r="H16" i="7" a="1"/>
  <c r="K18" i="7" l="1"/>
  <c r="K33" i="7"/>
  <c r="H16" i="7"/>
  <c r="L16" i="7" s="1"/>
  <c r="K26" i="7"/>
  <c r="L25" i="7"/>
  <c r="L19" i="7"/>
  <c r="K28" i="7"/>
  <c r="L27" i="7"/>
  <c r="L30" i="7"/>
  <c r="K30" i="7"/>
  <c r="K34" i="7"/>
  <c r="K1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<sst xmlns="http://schemas.openxmlformats.org/spreadsheetml/2006/main" count="48" uniqueCount="47">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</sst>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J1" sqref="J1"/>
    </sheetView>
  </sheetViews>
  <sheetFormatPr baseColWidth="10" defaultColWidth="11.453125" defaultRowHeight="12.5" x14ac:dyDescent="0.25"/>
  <cols>
    <col min="2" max="2" width="12.81640625" bestFit="1" customWidth="1"/>
    <col min="5" max="5" width="12.453125" customWidth="1"/>
    <col min="6" max="6" width="12.81640625" bestFit="1" customWidth="1"/>
    <col min="8" max="8" width="12.81640625" bestFit="1" customWidth="1"/>
    <col min="9" max="9" width="10.26953125" bestFit="1" customWidth="1"/>
    <col min="10" max="10" width="11.54296875" bestFit="1" customWidth="1"/>
    <col min="11" max="12" width="12.81640625" bestFit="1" customWidth="1"/>
  </cols>
  <sheetData>
    <row r="1" spans="1:12" ht="14" x14ac:dyDescent="0.3">
      <c r="A1" s="6" t="s">
        <v>0</v>
      </c>
      <c r="D1" s="16" t="s">
        <v>1</v>
      </c>
      <c r="E1" s="16"/>
      <c r="F1" s="16"/>
      <c r="J1" s="15" t="s">
        <v>2</v>
      </c>
    </row>
    <row r="3" spans="1:12" ht="13" x14ac:dyDescent="0.3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40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(act_nGrAx(x,n,Sex,Tafel,Zins)+Act_Dx(x+n,Sex,Tafel,Zins)/Act_Dx(x,Sex,Tafel,Zins)+gamma1*Act_axn_k(x,t,Sex,Tafel,Zins,1)+gamma2*(Act_axn_k(x,n,Sex,Tafel,Zins,1)-Act_axn_k(x,t,Sex,Tafel,Zins,1)))/((1-beta1)*Act_axn_k(x,t,Sex,Tafel,Zins,1)-alpha*t)</f>
        <v>4.226001029372492E-2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4226.0010293724918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371.87509007009305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4.0012169238708255E-2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ht="13" x14ac:dyDescent="0.3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0.63159227805217999</v>
      </c>
      <c r="C16" s="21" cm="1">
        <f t="array" ref="C16">Act_axn_k(x+$A16,MAX(0,n-$A16),Sex,Tafel,Zins,1)</f>
        <v>21.420277547537385</v>
      </c>
      <c r="D16" s="21" cm="1">
        <f t="array" ref="D16">Act_axn_k(x+$A16,MAX(0,t-$A16),Sex,Tafel,Zins,1)</f>
        <v>16.313094131562131</v>
      </c>
      <c r="E16" s="14" cm="1">
        <f t="array" ref="E16">B16-P_xt*D16+gamma2*(C16-Act_axn_k(x,n,Sex,Tafel,Zins,1)/Act_axn_k(x,t,Sex,Tafel,Zins,1)*D16)</f>
        <v>-2.1130005146862474E-2</v>
      </c>
      <c r="F16" s="17">
        <f t="shared" ref="F16:F66" si="0">VS*E16</f>
        <v>-2113.0005146862472</v>
      </c>
      <c r="G16" s="14">
        <f t="shared" ref="G16" si="1">B16+gamma3*C16</f>
        <v>0.68514297192102347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0.64172473375912109</v>
      </c>
      <c r="C17" s="21" cm="1">
        <f t="array" ref="C17">Act_axn_k(x+$A17,MAX(0,n-$A17),Sex,Tafel,Zins,1)</f>
        <v>20.831147622862499</v>
      </c>
      <c r="D17" s="21" cm="1">
        <f t="array" ref="D17">Act_axn_k(x+$A17,MAX(0,t-$A17),Sex,Tafel,Zins,1)</f>
        <v>15.621204152331885</v>
      </c>
      <c r="E17" s="14" cm="1">
        <f t="array" ref="E17">B17-P_xt*D17+gamma2*(C17-Act_axn_k(x,n,Sex,Tafel,Zins,1)/Act_axn_k(x,t,Sex,Tafel,Zins,1)*D17)</f>
        <v>1.7085684348174136E-2</v>
      </c>
      <c r="F17" s="17">
        <f t="shared" si="0"/>
        <v>1708.5684348174136</v>
      </c>
      <c r="G17" s="14">
        <f t="shared" ref="G17:G66" si="5">B17+gamma3*C17</f>
        <v>0.69380260281627737</v>
      </c>
      <c r="H17" s="17" cm="1">
        <f t="array" ref="H17">F17+alpha*t*BJB*Act_axn_k(x+A17,MAX(5-A17,0),Sex,Tafel,Zins,1)/Act_axn_k(x,5,Sex,Tafel,Zins,1)</f>
        <v>3415.407913894489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3265.407913894489</v>
      </c>
      <c r="L17" s="17">
        <f t="shared" si="4"/>
        <v>4922.7372454797596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0.65197243478330025</v>
      </c>
      <c r="C18" s="21" cm="1">
        <f t="array" ref="C18">Act_axn_k(x+$A18,MAX(0,n-$A18),Sex,Tafel,Zins,1)</f>
        <v>20.235317006171048</v>
      </c>
      <c r="D18" s="21" cm="1">
        <f t="array" ref="D18">Act_axn_k(x+$A18,MAX(0,t-$A18),Sex,Tafel,Zins,1)</f>
        <v>14.919192104308186</v>
      </c>
      <c r="E18" s="14" cm="1">
        <f t="array" ref="E18">B18-P_xt*D18+gamma2*(C18-Act_axn_k(x,n,Sex,Tafel,Zins,1)/Act_axn_k(x,t,Sex,Tafel,Zins,1)*D18)</f>
        <v>5.5829862989504993E-2</v>
      </c>
      <c r="F18" s="17">
        <f t="shared" si="0"/>
        <v>5582.9862989504991</v>
      </c>
      <c r="G18" s="14">
        <f t="shared" si="5"/>
        <v>0.70256072729872787</v>
      </c>
      <c r="H18" s="17" cm="1">
        <f t="array" ref="H18">F18+alpha*t*BJB*Act_axn_k(x+A18,MAX(5-A18,0),Sex,Tafel,Zins,1)/Act_axn_k(x,5,Sex,Tafel,Zins,1)</f>
        <v>6875.8217280899335</v>
      </c>
      <c r="I18" s="20">
        <f t="shared" si="2"/>
        <v>0</v>
      </c>
      <c r="J18" s="17">
        <f t="shared" si="3"/>
        <v>150</v>
      </c>
      <c r="K18" s="17">
        <f t="shared" si="6"/>
        <v>6725.8217280899335</v>
      </c>
      <c r="L18" s="17">
        <f t="shared" si="4"/>
        <v>9786.8005724241739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0.66233959472091153</v>
      </c>
      <c r="C19" s="21" cm="1">
        <f t="array" ref="C19">Act_axn_k(x+$A19,MAX(0,n-$A19),Sex,Tafel,Zins,1)</f>
        <v>19.632540706941409</v>
      </c>
      <c r="D19" s="21" cm="1">
        <f t="array" ref="D19">Act_axn_k(x+$A19,MAX(0,t-$A19),Sex,Tafel,Zins,1)</f>
        <v>14.20663384481256</v>
      </c>
      <c r="E19" s="14" cm="1">
        <f t="array" ref="E19">B19-P_xt*D19+gamma2*(C19-Act_axn_k(x,n,Sex,Tafel,Zins,1)/Act_axn_k(x,t,Sex,Tafel,Zins,1)*D19)</f>
        <v>9.5124105166487075E-2</v>
      </c>
      <c r="F19" s="17">
        <f t="shared" si="0"/>
        <v>9512.4105166487079</v>
      </c>
      <c r="G19" s="14">
        <f t="shared" si="5"/>
        <v>0.71142094648826504</v>
      </c>
      <c r="H19" s="17" cm="1">
        <f t="array" ref="H19">F19+alpha*t*BJB*Act_axn_k(x+A19,MAX(5-A19,0),Sex,Tafel,Zins,1)/Act_axn_k(x,5,Sex,Tafel,Zins,1)</f>
        <v>10383.034767622899</v>
      </c>
      <c r="I19" s="20">
        <f t="shared" si="2"/>
        <v>0</v>
      </c>
      <c r="J19" s="17">
        <f t="shared" si="3"/>
        <v>150</v>
      </c>
      <c r="K19" s="17">
        <f t="shared" si="6"/>
        <v>10233.034767622899</v>
      </c>
      <c r="L19" s="17">
        <f t="shared" si="4"/>
        <v>14594.783607196148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0.67282238705347686</v>
      </c>
      <c r="C20" s="21" cm="1">
        <f t="array" ref="C20">Act_axn_k(x+$A20,MAX(0,n-$A20),Sex,Tafel,Zins,1)</f>
        <v>19.023041209890845</v>
      </c>
      <c r="D20" s="21" cm="1">
        <f t="array" ref="D20">Act_axn_k(x+$A20,MAX(0,t-$A20),Sex,Tafel,Zins,1)</f>
        <v>13.483418274793564</v>
      </c>
      <c r="E20" s="14" cm="1">
        <f t="array" ref="E20">B20-P_xt*D20+gamma2*(C20-Act_axn_k(x,n,Sex,Tafel,Zins,1)/Act_axn_k(x,t,Sex,Tafel,Zins,1)*D20)</f>
        <v>0.13496949013199303</v>
      </c>
      <c r="F20" s="17">
        <f t="shared" si="0"/>
        <v>13496.949013199302</v>
      </c>
      <c r="G20" s="14">
        <f t="shared" si="5"/>
        <v>0.72037999007820397</v>
      </c>
      <c r="H20" s="17" cm="1">
        <f t="array" ref="H20">F20+alpha*t*BJB*Act_axn_k(x+A20,MAX(5-A20,0),Sex,Tafel,Zins,1)/Act_axn_k(x,5,Sex,Tafel,Zins,1)</f>
        <v>13936.775465521623</v>
      </c>
      <c r="I20" s="20">
        <f t="shared" si="2"/>
        <v>0</v>
      </c>
      <c r="J20" s="17">
        <f t="shared" si="3"/>
        <v>150</v>
      </c>
      <c r="K20" s="17">
        <f t="shared" si="6"/>
        <v>13786.775465521623</v>
      </c>
      <c r="L20" s="17">
        <f t="shared" si="4"/>
        <v>19346.422245860351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0.68341719128162604</v>
      </c>
      <c r="C21" s="21" cm="1">
        <f t="array" ref="C21">Act_axn_k(x+$A21,MAX(0,n-$A21),Sex,Tafel,Zins,1)</f>
        <v>18.407029021196891</v>
      </c>
      <c r="D21" s="21" cm="1">
        <f t="array" ref="D21">Act_axn_k(x+$A21,MAX(0,t-$A21),Sex,Tafel,Zins,1)</f>
        <v>12.749382293026253</v>
      </c>
      <c r="E21" s="14" cm="1">
        <f t="array" ref="E21">B21-P_xt*D21+gamma2*(C21-Act_axn_k(x,n,Sex,Tafel,Zins,1)/Act_axn_k(x,t,Sex,Tafel,Zins,1)*D21)</f>
        <v>0.17536945425788478</v>
      </c>
      <c r="F21" s="17">
        <f t="shared" si="0"/>
        <v>17536.945425788479</v>
      </c>
      <c r="G21" s="14">
        <f t="shared" si="5"/>
        <v>0.72943476383461825</v>
      </c>
      <c r="H21" s="17" cm="1">
        <f t="array" ref="H21">F21+alpha*t*BJB*Act_axn_k(x+A21,MAX(5-A21,0),Sex,Tafel,Zins,1)/Act_axn_k(x,5,Sex,Tafel,Zins,1)</f>
        <v>17536.945425788479</v>
      </c>
      <c r="I21" s="20">
        <f t="shared" si="2"/>
        <v>0</v>
      </c>
      <c r="J21" s="17">
        <f t="shared" si="3"/>
        <v>150</v>
      </c>
      <c r="K21" s="17">
        <f t="shared" si="6"/>
        <v>17386.945425788479</v>
      </c>
      <c r="L21" s="17">
        <f t="shared" si="4"/>
        <v>24041.828406418754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0.69412289600266475</v>
      </c>
      <c r="C22" s="21" cm="1">
        <f t="array" ref="C22">Act_axn_k(x+$A22,MAX(0,n-$A22),Sex,Tafel,Zins,1)</f>
        <v>17.784568760987899</v>
      </c>
      <c r="D22" s="21" cm="1">
        <f t="array" ref="D22">Act_axn_k(x+$A22,MAX(0,t-$A22),Sex,Tafel,Zins,1)</f>
        <v>12.004213759568451</v>
      </c>
      <c r="E22" s="14" cm="1">
        <f t="array" ref="E22">B22-P_xt*D22+gamma2*(C22-Act_axn_k(x,n,Sex,Tafel,Zins,1)/Act_axn_k(x,t,Sex,Tafel,Zins,1)*D22)</f>
        <v>0.21633596864084273</v>
      </c>
      <c r="F22" s="17">
        <f t="shared" si="0"/>
        <v>21633.596864084273</v>
      </c>
      <c r="G22" s="14">
        <f t="shared" si="5"/>
        <v>0.73858431790513446</v>
      </c>
      <c r="H22" s="17" cm="1">
        <f t="array" ref="H22">F22+alpha*t*BJB*Act_axn_k(x+A22,MAX(5-A22,0),Sex,Tafel,Zins,1)/Act_axn_k(x,5,Sex,Tafel,Zins,1)</f>
        <v>21633.596864084273</v>
      </c>
      <c r="I22" s="20">
        <f t="shared" si="2"/>
        <v>0</v>
      </c>
      <c r="J22" s="17">
        <f t="shared" si="3"/>
        <v>150</v>
      </c>
      <c r="K22" s="17">
        <f t="shared" si="6"/>
        <v>21483.596864084273</v>
      </c>
      <c r="L22" s="17">
        <f t="shared" si="4"/>
        <v>29290.625781825689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0.70493576621754772</v>
      </c>
      <c r="C23" s="21" cm="1">
        <f t="array" ref="C23">Act_axn_k(x+$A23,MAX(0,n-$A23),Sex,Tafel,Zins,1)</f>
        <v>17.15587759277976</v>
      </c>
      <c r="D23" s="21" cm="1">
        <f t="array" ref="D23">Act_axn_k(x+$A23,MAX(0,t-$A23),Sex,Tafel,Zins,1)</f>
        <v>11.247649370815745</v>
      </c>
      <c r="E23" s="14" cm="1">
        <f t="array" ref="E23">B23-P_xt*D23+gamma2*(C23-Act_axn_k(x,n,Sex,Tafel,Zins,1)/Act_axn_k(x,t,Sex,Tafel,Zins,1)*D23)</f>
        <v>0.25787653725554543</v>
      </c>
      <c r="F23" s="17">
        <f t="shared" si="0"/>
        <v>25787.653725554545</v>
      </c>
      <c r="G23" s="14">
        <f t="shared" si="5"/>
        <v>0.74782546019949714</v>
      </c>
      <c r="H23" s="17" cm="1">
        <f t="array" ref="H23">F23+alpha*t*BJB*Act_axn_k(x+A23,MAX(5-A23,0),Sex,Tafel,Zins,1)/Act_axn_k(x,5,Sex,Tafel,Zins,1)</f>
        <v>25787.653725554545</v>
      </c>
      <c r="I23" s="20">
        <f t="shared" si="2"/>
        <v>0</v>
      </c>
      <c r="J23" s="17">
        <f t="shared" si="3"/>
        <v>150</v>
      </c>
      <c r="K23" s="17">
        <f t="shared" si="6"/>
        <v>25637.653725554545</v>
      </c>
      <c r="L23" s="17">
        <f t="shared" si="4"/>
        <v>34483.519347783615</v>
      </c>
    </row>
    <row r="24" spans="1:12" x14ac:dyDescent="0.25">
      <c r="A24">
        <v>8</v>
      </c>
      <c r="B24" s="14" cm="1">
        <f t="array" ref="B24">IF(A24&lt;=n,act_nGrAx(x+$A24,MAX(0,n-$A24),Sex,Tafel,Zins)+Act_Dx(x+n,Sex,Tafel,Zins)/Act_Dx(x+$A24,Sex,Tafel,Zins),0)</f>
        <v>0.71585625383923435</v>
      </c>
      <c r="C24" s="21" cm="1">
        <f t="array" ref="C24">Act_axn_k(x+$A24,MAX(0,n-$A24),Sex,Tafel,Zins,1)</f>
        <v>16.520929241061609</v>
      </c>
      <c r="D24" s="21" cm="1">
        <f t="array" ref="D24">Act_axn_k(x+$A24,MAX(0,t-$A24),Sex,Tafel,Zins,1)</f>
        <v>10.479201093855696</v>
      </c>
      <c r="E24" s="14" cm="1">
        <f t="array" ref="E24">B24-P_xt*D24+gamma2*(C24-Act_axn_k(x,n,Sex,Tafel,Zins,1)/Act_axn_k(x,t,Sex,Tafel,Zins,1)*D24)</f>
        <v>0.30001190745438006</v>
      </c>
      <c r="F24" s="17">
        <f t="shared" si="0"/>
        <v>30001.190745438005</v>
      </c>
      <c r="G24" s="14">
        <f t="shared" si="5"/>
        <v>0.75715857694188837</v>
      </c>
      <c r="H24" s="17" cm="1">
        <f t="array" ref="H24">F24+alpha*t*BJB*Act_axn_k(x+A24,MAX(5-A24,0),Sex,Tafel,Zins,1)/Act_axn_k(x,5,Sex,Tafel,Zins,1)</f>
        <v>30001.190745438005</v>
      </c>
      <c r="I24" s="20">
        <f t="shared" si="2"/>
        <v>0</v>
      </c>
      <c r="J24" s="17">
        <f t="shared" si="3"/>
        <v>150</v>
      </c>
      <c r="K24" s="17">
        <f t="shared" si="6"/>
        <v>29851.190745438005</v>
      </c>
      <c r="L24" s="17">
        <f t="shared" si="4"/>
        <v>39623.391531283654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0.72687938996132817</v>
      </c>
      <c r="C25" s="21" cm="1">
        <f t="array" ref="C25">Act_axn_k(x+$A25,MAX(0,n-$A25),Sex,Tafel,Zins,1)</f>
        <v>15.880012612248448</v>
      </c>
      <c r="D25" s="21" cm="1">
        <f t="array" ref="D25">Act_axn_k(x+$A25,MAX(0,t-$A25),Sex,Tafel,Zins,1)</f>
        <v>9.6985064867270605</v>
      </c>
      <c r="E25" s="14" cm="1">
        <f t="array" ref="E25">B25-P_xt*D25+gamma2*(C25-Act_axn_k(x,n,Sex,Tafel,Zins,1)/Act_axn_k(x,t,Sex,Tafel,Zins,1)*D25)</f>
        <v>0.34275256844383917</v>
      </c>
      <c r="F25" s="17">
        <f t="shared" si="0"/>
        <v>34275.256844383919</v>
      </c>
      <c r="G25" s="14">
        <f t="shared" si="5"/>
        <v>0.76657942149194924</v>
      </c>
      <c r="H25" s="17" cm="1">
        <f t="array" ref="H25">F25+alpha*t*BJB*Act_axn_k(x+A25,MAX(5-A25,0),Sex,Tafel,Zins,1)/Act_axn_k(x,5,Sex,Tafel,Zins,1)</f>
        <v>34275.256844383919</v>
      </c>
      <c r="I25" s="20">
        <f t="shared" si="2"/>
        <v>0</v>
      </c>
      <c r="J25" s="17">
        <f t="shared" si="3"/>
        <v>150</v>
      </c>
      <c r="K25" s="17">
        <f t="shared" si="6"/>
        <v>34125.256844383919</v>
      </c>
      <c r="L25" s="17">
        <f t="shared" si="4"/>
        <v>44711.944885861878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0.73800317060733223</v>
      </c>
      <c r="C26" s="21" cm="1">
        <f t="array" ref="C26">Act_axn_k(x+$A26,MAX(0,n-$A26),Sex,Tafel,Zins,1)</f>
        <v>15.233244223259339</v>
      </c>
      <c r="D26" s="21" cm="1">
        <f t="array" ref="D26">Act_axn_k(x+$A26,MAX(0,t-$A26),Sex,Tafel,Zins,1)</f>
        <v>8.9049974044273643</v>
      </c>
      <c r="E26" s="14" cm="1">
        <f t="array" ref="E26">B26-P_xt*D26+gamma2*(C26-Act_axn_k(x,n,Sex,Tafel,Zins,1)/Act_axn_k(x,t,Sex,Tafel,Zins,1)*D26)</f>
        <v>0.38612032712713734</v>
      </c>
      <c r="F26" s="17">
        <f t="shared" si="0"/>
        <v>38612.032712713735</v>
      </c>
      <c r="G26" s="14">
        <f t="shared" si="5"/>
        <v>0.77608628116548062</v>
      </c>
      <c r="H26" s="17" cm="1">
        <f t="array" ref="H26">F26+alpha*t*BJB*Act_axn_k(x+A26,MAX(5-A26,0),Sex,Tafel,Zins,1)/Act_axn_k(x,5,Sex,Tafel,Zins,1)</f>
        <v>38612.032712713735</v>
      </c>
      <c r="I26" s="20">
        <f t="shared" si="2"/>
        <v>0</v>
      </c>
      <c r="J26" s="17">
        <f t="shared" si="3"/>
        <v>150</v>
      </c>
      <c r="K26" s="17">
        <f t="shared" si="6"/>
        <v>38462.032712713735</v>
      </c>
      <c r="L26" s="17">
        <f t="shared" si="4"/>
        <v>49752.242308327448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0.74922524572686089</v>
      </c>
      <c r="C27" s="21" cm="1">
        <f t="array" ref="C27">Act_axn_k(x+$A27,MAX(0,n-$A27),Sex,Tafel,Zins,1)</f>
        <v>14.580760712738069</v>
      </c>
      <c r="D27" s="21" cm="1">
        <f t="array" ref="D27">Act_axn_k(x+$A27,MAX(0,t-$A27),Sex,Tafel,Zins,1)</f>
        <v>8.098004487298601</v>
      </c>
      <c r="E27" s="14" cm="1">
        <f t="array" ref="E27">B27-P_xt*D27+gamma2*(C27-Act_axn_k(x,n,Sex,Tafel,Zins,1)/Act_axn_k(x,t,Sex,Tafel,Zins,1)*D27)</f>
        <v>0.43014088543142642</v>
      </c>
      <c r="F27" s="17">
        <f t="shared" si="0"/>
        <v>43014.088543142643</v>
      </c>
      <c r="G27" s="14">
        <f t="shared" si="5"/>
        <v>0.7856771475087061</v>
      </c>
      <c r="H27" s="17" cm="1">
        <f t="array" ref="H27">F27+alpha*t*BJB*Act_axn_k(x+A27,MAX(5-A27,0),Sex,Tafel,Zins,1)/Act_axn_k(x,5,Sex,Tafel,Zins,1)</f>
        <v>43014.088543142643</v>
      </c>
      <c r="I27" s="20">
        <f t="shared" si="2"/>
        <v>0</v>
      </c>
      <c r="J27" s="17">
        <f t="shared" si="3"/>
        <v>150</v>
      </c>
      <c r="K27" s="17">
        <f t="shared" si="6"/>
        <v>42864.088543142643</v>
      </c>
      <c r="L27" s="17">
        <f t="shared" si="4"/>
        <v>54747.791353656503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0.7605443620772302</v>
      </c>
      <c r="C28" s="21" cm="1">
        <f t="array" ref="C28">Act_axn_k(x+$A28,MAX(0,n-$A28),Sex,Tafel,Zins,1)</f>
        <v>13.922634947795249</v>
      </c>
      <c r="D28" s="21" cm="1">
        <f t="array" ref="D28">Act_axn_k(x+$A28,MAX(0,t-$A28),Sex,Tafel,Zins,1)</f>
        <v>7.276685557222148</v>
      </c>
      <c r="E28" s="14" cm="1">
        <f t="array" ref="E28">B28-P_xt*D28+gamma2*(C28-Act_axn_k(x,n,Sex,Tafel,Zins,1)/Act_axn_k(x,t,Sex,Tafel,Zins,1)*D28)</f>
        <v>0.4748481608726271</v>
      </c>
      <c r="F28" s="17">
        <f t="shared" si="0"/>
        <v>47484.816087262712</v>
      </c>
      <c r="G28" s="14">
        <f t="shared" si="5"/>
        <v>0.79535094944671836</v>
      </c>
      <c r="H28" s="17" cm="1">
        <f t="array" ref="H28">F28+alpha*t*BJB*Act_axn_k(x+A28,MAX(5-A28,0),Sex,Tafel,Zins,1)/Act_axn_k(x,5,Sex,Tafel,Zins,1)</f>
        <v>47484.816087262712</v>
      </c>
      <c r="I28" s="20">
        <f t="shared" si="2"/>
        <v>0</v>
      </c>
      <c r="J28" s="17">
        <f t="shared" si="3"/>
        <v>150</v>
      </c>
      <c r="K28" s="17">
        <f t="shared" si="6"/>
        <v>47334.816087262712</v>
      </c>
      <c r="L28" s="17">
        <f t="shared" si="4"/>
        <v>59702.972782386532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0.77196070619642554</v>
      </c>
      <c r="C29" s="21" cm="1">
        <f t="array" ref="C29">Act_axn_k(x+$A29,MAX(0,n-$A29),Sex,Tafel,Zins,1)</f>
        <v>13.258856082579262</v>
      </c>
      <c r="D29" s="21" cm="1">
        <f t="array" ref="D29">Act_axn_k(x+$A29,MAX(0,t-$A29),Sex,Tafel,Zins,1)</f>
        <v>6.4399923711387439</v>
      </c>
      <c r="E29" s="14" cm="1">
        <f t="array" ref="E29">B29-P_xt*D29+gamma2*(C29-Act_axn_k(x,n,Sex,Tafel,Zins,1)/Act_axn_k(x,t,Sex,Tafel,Zins,1)*D29)</f>
        <v>0.52028598943419979</v>
      </c>
      <c r="F29" s="17">
        <f t="shared" si="0"/>
        <v>52028.59894341998</v>
      </c>
      <c r="G29" s="14">
        <f t="shared" si="5"/>
        <v>0.80510784640287369</v>
      </c>
      <c r="H29" s="17" cm="1">
        <f t="array" ref="H29">F29+alpha*t*BJB*Act_axn_k(x+A29,MAX(5-A29,0),Sex,Tafel,Zins,1)/Act_axn_k(x,5,Sex,Tafel,Zins,1)</f>
        <v>52028.59894341998</v>
      </c>
      <c r="I29" s="20">
        <f t="shared" si="2"/>
        <v>0</v>
      </c>
      <c r="J29" s="17">
        <f t="shared" si="3"/>
        <v>150</v>
      </c>
      <c r="K29" s="17">
        <f t="shared" si="6"/>
        <v>51878.59894341998</v>
      </c>
      <c r="L29" s="17">
        <f t="shared" si="4"/>
        <v>64623.142322954103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0.78347473826800151</v>
      </c>
      <c r="C30" s="21" cm="1">
        <f t="array" ref="C30">Act_axn_k(x+$A30,MAX(0,n-$A30),Sex,Tafel,Zins,1)</f>
        <v>12.589397360703279</v>
      </c>
      <c r="D30" s="21" cm="1">
        <f t="array" ref="D30">Act_axn_k(x+$A30,MAX(0,t-$A30),Sex,Tafel,Zins,1)</f>
        <v>5.5866734333217298</v>
      </c>
      <c r="E30" s="14" cm="1">
        <f t="array" ref="E30">B30-P_xt*D30+gamma2*(C30-Act_axn_k(x,n,Sex,Tafel,Zins,1)/Act_axn_k(x,t,Sex,Tafel,Zins,1)*D30)</f>
        <v>0.5665069270440265</v>
      </c>
      <c r="F30" s="17">
        <f t="shared" si="0"/>
        <v>56650.692704402652</v>
      </c>
      <c r="G30" s="14">
        <f t="shared" si="5"/>
        <v>0.81494823166975972</v>
      </c>
      <c r="H30" s="17" cm="1">
        <f t="array" ref="H30">F30+alpha*t*BJB*Act_axn_k(x+A30,MAX(5-A30,0),Sex,Tafel,Zins,1)/Act_axn_k(x,5,Sex,Tafel,Zins,1)</f>
        <v>56650.692704402652</v>
      </c>
      <c r="I30" s="20">
        <f t="shared" si="2"/>
        <v>0</v>
      </c>
      <c r="J30" s="17">
        <f t="shared" si="3"/>
        <v>150</v>
      </c>
      <c r="K30" s="17">
        <f t="shared" si="6"/>
        <v>56500.692704402652</v>
      </c>
      <c r="L30" s="17">
        <f t="shared" si="4"/>
        <v>69514.46791697455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0.79509655557174597</v>
      </c>
      <c r="C31" s="21" cm="1">
        <f t="array" ref="C31">Act_axn_k(x+$A31,MAX(0,n-$A31),Sex,Tafel,Zins,1)</f>
        <v>11.913671697471306</v>
      </c>
      <c r="D31" s="21" cm="1">
        <f t="array" ref="D31">Act_axn_k(x+$A31,MAX(0,t-$A31),Sex,Tafel,Zins,1)</f>
        <v>4.7150097427320183</v>
      </c>
      <c r="E31" s="14" cm="1">
        <f t="array" ref="E31">B31-P_xt*D31+gamma2*(C31-Act_axn_k(x,n,Sex,Tafel,Zins,1)/Act_axn_k(x,t,Sex,Tafel,Zins,1)*D31)</f>
        <v>0.61359193955305902</v>
      </c>
      <c r="F31" s="17">
        <f t="shared" si="0"/>
        <v>61359.193955305898</v>
      </c>
      <c r="G31" s="14">
        <f t="shared" si="5"/>
        <v>0.82488073481542423</v>
      </c>
      <c r="H31" s="17" cm="1">
        <f t="array" ref="H31">F31+alpha*t*BJB*Act_axn_k(x+A31,MAX(5-A31,0),Sex,Tafel,Zins,1)/Act_axn_k(x,5,Sex,Tafel,Zins,1)</f>
        <v>61359.193955305898</v>
      </c>
      <c r="I31" s="20">
        <f t="shared" si="2"/>
        <v>0</v>
      </c>
      <c r="J31" s="17">
        <f t="shared" si="3"/>
        <v>150</v>
      </c>
      <c r="K31" s="17">
        <f t="shared" si="6"/>
        <v>61209.193955305898</v>
      </c>
      <c r="L31" s="17">
        <f t="shared" si="4"/>
        <v>74385.534011817683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0.80684040407442925</v>
      </c>
      <c r="C32" s="21" cm="1">
        <f t="array" ref="C32">Act_axn_k(x+$A32,MAX(0,n-$A32),Sex,Tafel,Zins,1)</f>
        <v>11.230850791672268</v>
      </c>
      <c r="D32" s="21" cm="1">
        <f t="array" ref="D32">Act_axn_k(x+$A32,MAX(0,t-$A32),Sex,Tafel,Zins,1)</f>
        <v>3.8229773871518575</v>
      </c>
      <c r="E32" s="14" cm="1">
        <f t="array" ref="E32">B32-P_xt*D32+gamma2*(C32-Act_axn_k(x,n,Sex,Tafel,Zins,1)/Act_axn_k(x,t,Sex,Tafel,Zins,1)*D32)</f>
        <v>0.66163854059942906</v>
      </c>
      <c r="F32" s="17">
        <f t="shared" si="0"/>
        <v>66163.854059942911</v>
      </c>
      <c r="G32" s="14">
        <f t="shared" si="5"/>
        <v>0.83491753105360988</v>
      </c>
      <c r="H32" s="17" cm="1">
        <f t="array" ref="H32">F32+alpha*t*BJB*Act_axn_k(x+A32,MAX(5-A32,0),Sex,Tafel,Zins,1)/Act_axn_k(x,5,Sex,Tafel,Zins,1)</f>
        <v>66163.854059942911</v>
      </c>
      <c r="I32" s="20">
        <f t="shared" si="2"/>
        <v>0</v>
      </c>
      <c r="J32" s="17">
        <f t="shared" si="3"/>
        <v>150</v>
      </c>
      <c r="K32" s="17">
        <f t="shared" si="6"/>
        <v>66013.854059942911</v>
      </c>
      <c r="L32" s="17">
        <f t="shared" si="4"/>
        <v>79245.975319800229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0.81872315487691227</v>
      </c>
      <c r="C33" s="21" cm="1">
        <f t="array" ref="C33">Act_axn_k(x+$A33,MAX(0,n-$A33),Sex,Tafel,Zins,1)</f>
        <v>10.539953709299303</v>
      </c>
      <c r="D33" s="21" cm="1">
        <f t="array" ref="D33">Act_axn_k(x+$A33,MAX(0,t-$A33),Sex,Tafel,Zins,1)</f>
        <v>2.9082675125316699</v>
      </c>
      <c r="E33" s="14" cm="1">
        <f t="array" ref="E33">B33-P_xt*D33+gamma2*(C33-Act_axn_k(x,n,Sex,Tafel,Zins,1)/Act_axn_k(x,t,Sex,Tafel,Zins,1)*D33)</f>
        <v>0.71075854699181529</v>
      </c>
      <c r="F33" s="17">
        <f t="shared" si="0"/>
        <v>71075.854699181524</v>
      </c>
      <c r="G33" s="14">
        <f t="shared" si="5"/>
        <v>0.84507303915016052</v>
      </c>
      <c r="H33" s="17" cm="1">
        <f t="array" ref="H33">F33+alpha*t*BJB*Act_axn_k(x+A33,MAX(5-A33,0),Sex,Tafel,Zins,1)/Act_axn_k(x,5,Sex,Tafel,Zins,1)</f>
        <v>71075.854699181524</v>
      </c>
      <c r="I33" s="20">
        <f t="shared" si="2"/>
        <v>0</v>
      </c>
      <c r="J33" s="17">
        <f t="shared" si="3"/>
        <v>150</v>
      </c>
      <c r="K33" s="17">
        <f t="shared" si="6"/>
        <v>70925.854699181524</v>
      </c>
      <c r="L33" s="17">
        <f t="shared" si="4"/>
        <v>84106.167640442378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0.83076289364646305</v>
      </c>
      <c r="C34" s="21" cm="1">
        <f t="array" ref="C34">Act_axn_k(x+$A34,MAX(0,n-$A34),Sex,Tafel,Zins,1)</f>
        <v>9.8399288979838673</v>
      </c>
      <c r="D34" s="21" cm="1">
        <f t="array" ref="D34">Act_axn_k(x+$A34,MAX(0,t-$A34),Sex,Tafel,Zins,1)</f>
        <v>1.9682712530712323</v>
      </c>
      <c r="E34" s="14" cm="1">
        <f t="array" ref="E34">B34-P_xt*D34+gamma2*(C34-Act_axn_k(x,n,Sex,Tafel,Zins,1)/Act_axn_k(x,t,Sex,Tafel,Zins,1)*D34)</f>
        <v>0.76107739837481847</v>
      </c>
      <c r="F34" s="17">
        <f t="shared" si="0"/>
        <v>76107.739837481844</v>
      </c>
      <c r="G34" s="14">
        <f t="shared" si="5"/>
        <v>0.85536271589142276</v>
      </c>
      <c r="H34" s="17" cm="1">
        <f t="array" ref="H34">F34+alpha*t*BJB*Act_axn_k(x+A34,MAX(5-A34,0),Sex,Tafel,Zins,1)/Act_axn_k(x,5,Sex,Tafel,Zins,1)</f>
        <v>76107.739837481844</v>
      </c>
      <c r="I34" s="20">
        <f t="shared" si="2"/>
        <v>0</v>
      </c>
      <c r="J34" s="17">
        <f t="shared" si="3"/>
        <v>150</v>
      </c>
      <c r="K34" s="17">
        <f t="shared" si="6"/>
        <v>75957.739837481844</v>
      </c>
      <c r="L34" s="17">
        <f t="shared" si="4"/>
        <v>88977.153695746005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0.84297985851354329</v>
      </c>
      <c r="C35" s="21" cm="1">
        <f t="array" ref="C35">Act_axn_k(x+$A35,MAX(0,n-$A35),Sex,Tafel,Zins,1)</f>
        <v>9.1295996549981115</v>
      </c>
      <c r="D35" s="21" cm="1">
        <f t="array" ref="D35">Act_axn_k(x+$A35,MAX(0,t-$A35),Sex,Tafel,Zins,1)</f>
        <v>0.99999999999999722</v>
      </c>
      <c r="E35" s="14" cm="1">
        <f t="array" ref="E35">B35-P_xt*D35+gamma2*(C35-Act_axn_k(x,n,Sex,Tafel,Zins,1)/Act_axn_k(x,t,Sex,Tafel,Zins,1)*D35)</f>
        <v>0.81273834804590928</v>
      </c>
      <c r="F35" s="17">
        <f t="shared" si="0"/>
        <v>81273.834804590922</v>
      </c>
      <c r="G35" s="14">
        <f t="shared" si="5"/>
        <v>0.86580385765103862</v>
      </c>
      <c r="H35" s="17" cm="1">
        <f t="array" ref="H35">F35+alpha*t*BJB*Act_axn_k(x+A35,MAX(5-A35,0),Sex,Tafel,Zins,1)/Act_axn_k(x,5,Sex,Tafel,Zins,1)</f>
        <v>81273.834804590922</v>
      </c>
      <c r="I35" s="20">
        <f t="shared" si="2"/>
        <v>0</v>
      </c>
      <c r="J35" s="17">
        <f t="shared" si="3"/>
        <v>150</v>
      </c>
      <c r="K35" s="17">
        <f t="shared" si="6"/>
        <v>81123.834804590922</v>
      </c>
      <c r="L35" s="17">
        <f t="shared" si="4"/>
        <v>93870.954820056097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0.85539666213094412</v>
      </c>
      <c r="C36" s="21" cm="1">
        <f t="array" ref="C36">Act_axn_k(x+$A36,MAX(0,n-$A36),Sex,Tafel,Zins,1)</f>
        <v>8.4076512161005947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0.86590622615106982</v>
      </c>
      <c r="F36" s="17">
        <f t="shared" si="0"/>
        <v>86590.622615106986</v>
      </c>
      <c r="G36" s="14">
        <f t="shared" si="5"/>
        <v>0.87641579017119564</v>
      </c>
      <c r="H36" s="17" cm="1">
        <f t="array" ref="H36">F36+alpha*t*BJB*Act_axn_k(x+A36,MAX(5-A36,0),Sex,Tafel,Zins,1)/Act_axn_k(x,5,Sex,Tafel,Zins,1)</f>
        <v>86590.622615106986</v>
      </c>
      <c r="I36" s="20">
        <f t="shared" si="2"/>
        <v>0</v>
      </c>
      <c r="J36" s="17">
        <f t="shared" si="3"/>
        <v>134.09377384893014</v>
      </c>
      <c r="K36" s="17">
        <f t="shared" si="6"/>
        <v>86456.528841258056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0.86804031425701744</v>
      </c>
      <c r="C37" s="21" cm="1">
        <f t="array" ref="C37">Act_axn_k(x+$A37,MAX(0,n-$A37),Sex,Tafel,Zins,1)</f>
        <v>7.6725131567704379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0.87763095570298044</v>
      </c>
      <c r="F37" s="17">
        <f t="shared" si="0"/>
        <v>87763.095570298043</v>
      </c>
      <c r="G37" s="14">
        <f t="shared" si="5"/>
        <v>0.88722159714894355</v>
      </c>
      <c r="H37" s="17" cm="1">
        <f t="array" ref="H37">F37+alpha*t*BJB*Act_axn_k(x+A37,MAX(5-A37,0),Sex,Tafel,Zins,1)/Act_axn_k(x,5,Sex,Tafel,Zins,1)</f>
        <v>87763.095570298043</v>
      </c>
      <c r="I37" s="20">
        <f t="shared" si="2"/>
        <v>0</v>
      </c>
      <c r="J37" s="17">
        <f t="shared" si="3"/>
        <v>122.36904429701957</v>
      </c>
      <c r="K37" s="17">
        <f t="shared" si="6"/>
        <v>87640.726526001017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0.88094237503175243</v>
      </c>
      <c r="C38" s="21" cm="1">
        <f t="array" ref="C38">Act_axn_k(x+$A38,MAX(0,n-$A38),Sex,Tafel,Zins,1)</f>
        <v>6.9223504802966715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0.88959531313212326</v>
      </c>
      <c r="F38" s="17">
        <f t="shared" si="0"/>
        <v>88959.531313212326</v>
      </c>
      <c r="G38" s="14">
        <f t="shared" si="5"/>
        <v>0.89824825123249408</v>
      </c>
      <c r="H38" s="17" cm="1">
        <f t="array" ref="H38">F38+alpha*t*BJB*Act_axn_k(x+A38,MAX(5-A38,0),Sex,Tafel,Zins,1)/Act_axn_k(x,5,Sex,Tafel,Zins,1)</f>
        <v>88959.531313212326</v>
      </c>
      <c r="I38" s="20">
        <f t="shared" si="2"/>
        <v>0</v>
      </c>
      <c r="J38" s="17">
        <f t="shared" si="3"/>
        <v>110.40468686787673</v>
      </c>
      <c r="K38" s="17">
        <f t="shared" si="6"/>
        <v>88849.126626344456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0.894140474375828</v>
      </c>
      <c r="C39" s="21" cm="1">
        <f t="array" ref="C39">Act_axn_k(x+$A39,MAX(0,n-$A39),Sex,Tafel,Zins,1)</f>
        <v>6.154975275576831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0.90183419347029903</v>
      </c>
      <c r="F39" s="17">
        <f t="shared" si="0"/>
        <v>90183.419347029907</v>
      </c>
      <c r="G39" s="14">
        <f t="shared" si="5"/>
        <v>0.90952791256477006</v>
      </c>
      <c r="H39" s="17" cm="1">
        <f t="array" ref="H39">F39+alpha*t*BJB*Act_axn_k(x+A39,MAX(5-A39,0),Sex,Tafel,Zins,1)/Act_axn_k(x,5,Sex,Tafel,Zins,1)</f>
        <v>90183.419347029907</v>
      </c>
      <c r="I39" s="20">
        <f t="shared" si="2"/>
        <v>0</v>
      </c>
      <c r="J39" s="17">
        <f t="shared" si="3"/>
        <v>98.16580652970093</v>
      </c>
      <c r="K39" s="17">
        <f t="shared" si="6"/>
        <v>90085.253540500213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0.90767998988648224</v>
      </c>
      <c r="C40" s="21" cm="1">
        <f t="array" ref="C40">Act_axn_k(x+$A40,MAX(0,n-$A40),Sex,Tafel,Zins,1)</f>
        <v>5.3677491594573352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0.91438967633580392</v>
      </c>
      <c r="F40" s="17">
        <f t="shared" si="0"/>
        <v>91438.967633580396</v>
      </c>
      <c r="G40" s="14">
        <f t="shared" si="5"/>
        <v>0.92109936278512561</v>
      </c>
      <c r="H40" s="17" cm="1">
        <f t="array" ref="H40">F40+alpha*t*BJB*Act_axn_k(x+A40,MAX(5-A40,0),Sex,Tafel,Zins,1)/Act_axn_k(x,5,Sex,Tafel,Zins,1)</f>
        <v>91438.967633580396</v>
      </c>
      <c r="I40" s="20">
        <f t="shared" si="2"/>
        <v>0</v>
      </c>
      <c r="J40" s="17">
        <f t="shared" si="3"/>
        <v>85.610323664196045</v>
      </c>
      <c r="K40" s="17">
        <f t="shared" si="6"/>
        <v>91353.357309916202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0.92161591820421385</v>
      </c>
      <c r="C41" s="21" cm="1">
        <f t="array" ref="C41">Act_axn_k(x+$A41,MAX(0,n-$A41),Sex,Tafel,Zins,1)</f>
        <v>4.557474470126218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0.92731276129187157</v>
      </c>
      <c r="F41" s="17">
        <f t="shared" si="0"/>
        <v>92731.276129187157</v>
      </c>
      <c r="G41" s="14">
        <f t="shared" si="5"/>
        <v>0.9330096043795294</v>
      </c>
      <c r="H41" s="17" cm="1">
        <f t="array" ref="H41">F41+alpha*t*BJB*Act_axn_k(x+A41,MAX(5-A41,0),Sex,Tafel,Zins,1)/Act_axn_k(x,5,Sex,Tafel,Zins,1)</f>
        <v>92731.276129187157</v>
      </c>
      <c r="I41" s="20">
        <f t="shared" si="2"/>
        <v>1</v>
      </c>
      <c r="J41" s="17">
        <f t="shared" si="3"/>
        <v>0</v>
      </c>
      <c r="K41" s="17">
        <f t="shared" si="6"/>
        <v>92731.276129187157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0.936011845465061</v>
      </c>
      <c r="C42" s="21" cm="1">
        <f t="array" ref="C42">Act_axn_k(x+$A42,MAX(0,n-$A42),Sex,Tafel,Zins,1)</f>
        <v>3.7204541279596572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0.94066241312501053</v>
      </c>
      <c r="F42" s="17">
        <f t="shared" si="0"/>
        <v>94066.24131250105</v>
      </c>
      <c r="G42" s="14">
        <f t="shared" si="5"/>
        <v>0.94531298078496018</v>
      </c>
      <c r="H42" s="17" cm="1">
        <f t="array" ref="H42">F42+alpha*t*BJB*Act_axn_k(x+A42,MAX(5-A42,0),Sex,Tafel,Zins,1)/Act_axn_k(x,5,Sex,Tafel,Zins,1)</f>
        <v>94066.24131250105</v>
      </c>
      <c r="I42" s="20">
        <f t="shared" si="2"/>
        <v>1</v>
      </c>
      <c r="J42" s="17">
        <f t="shared" si="3"/>
        <v>0</v>
      </c>
      <c r="K42" s="17">
        <f t="shared" si="6"/>
        <v>94066.24131250105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0.9509422995984339</v>
      </c>
      <c r="C43" s="21" cm="1">
        <f t="array" ref="C43">Act_axn_k(x+$A43,MAX(0,n-$A43),Sex,Tafel,Zins,1)</f>
        <v>2.8523548662050255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0.95450774318119014</v>
      </c>
      <c r="F43" s="17">
        <f t="shared" si="0"/>
        <v>95450.774318119016</v>
      </c>
      <c r="G43" s="14">
        <f t="shared" si="5"/>
        <v>0.95807318676394648</v>
      </c>
      <c r="H43" s="17" cm="1">
        <f t="array" ref="H43">F43+alpha*t*BJB*Act_axn_k(x+A43,MAX(5-A43,0),Sex,Tafel,Zins,1)/Act_axn_k(x,5,Sex,Tafel,Zins,1)</f>
        <v>95450.774318119016</v>
      </c>
      <c r="I43" s="20">
        <f t="shared" si="2"/>
        <v>1</v>
      </c>
      <c r="J43" s="17">
        <f t="shared" si="3"/>
        <v>0</v>
      </c>
      <c r="K43" s="17">
        <f t="shared" si="6"/>
        <v>95450.774318119016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0.96650006700915558</v>
      </c>
      <c r="C44" s="21" cm="1">
        <f t="array" ref="C44">Act_axn_k(x+$A44,MAX(0,n-$A44),Sex,Tafel,Zins,1)</f>
        <v>1.9477818181817932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0.96893479428188278</v>
      </c>
      <c r="F44" s="17">
        <f t="shared" si="0"/>
        <v>96893.479428188279</v>
      </c>
      <c r="G44" s="14">
        <f t="shared" si="5"/>
        <v>0.97136952155461009</v>
      </c>
      <c r="H44" s="17" cm="1">
        <f t="array" ref="H44">F44+alpha*t*BJB*Act_axn_k(x+A44,MAX(5-A44,0),Sex,Tafel,Zins,1)/Act_axn_k(x,5,Sex,Tafel,Zins,1)</f>
        <v>96893.479428188279</v>
      </c>
      <c r="I44" s="20">
        <f t="shared" si="2"/>
        <v>1</v>
      </c>
      <c r="J44" s="17">
        <f t="shared" si="3"/>
        <v>0</v>
      </c>
      <c r="K44" s="17">
        <f t="shared" si="6"/>
        <v>96893.479428188279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0.98280098280098294</v>
      </c>
      <c r="C45" s="21" cm="1">
        <f t="array" ref="C45">Act_axn_k(x+$A45,MAX(0,n-$A45),Sex,Tafel,Zins,1)</f>
        <v>0.99999999999999922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0.98405098280098291</v>
      </c>
      <c r="F45" s="17">
        <f t="shared" si="0"/>
        <v>98405.098280098289</v>
      </c>
      <c r="G45" s="14">
        <f t="shared" si="5"/>
        <v>0.98530098280098288</v>
      </c>
      <c r="H45" s="17" cm="1">
        <f t="array" ref="H45">F45+alpha*t*BJB*Act_axn_k(x+A45,MAX(5-A45,0),Sex,Tafel,Zins,1)/Act_axn_k(x,5,Sex,Tafel,Zins,1)</f>
        <v>98405.098280098289</v>
      </c>
      <c r="I45" s="20">
        <f t="shared" si="2"/>
        <v>1</v>
      </c>
      <c r="J45" s="17">
        <f t="shared" si="3"/>
        <v>0</v>
      </c>
      <c r="K45" s="17">
        <f t="shared" si="6"/>
        <v>98405.098280098289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3" activePane="bottomRight" state="frozen"/>
      <selection pane="topRight" activeCell="U4" sqref="U4"/>
      <selection pane="bottomLeft" activeCell="U4" sqref="U4"/>
      <selection pane="bottomRight" activeCell="B5" sqref="B5"/>
    </sheetView>
  </sheetViews>
  <sheetFormatPr baseColWidth="10" defaultColWidth="15.81640625" defaultRowHeight="12.5" x14ac:dyDescent="0.25"/>
  <cols>
    <col min="1" max="16384" width="15.8164062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b0d7ee-1aad-4aad-88ec-e65128201c72" xsi:nil="true"/>
    <lcf76f155ced4ddcb4097134ff3c332f xmlns="4e875dd7-ca93-4f6f-a97a-dbb2251ba46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5E88D367F8BC4098A3DA36351F1795" ma:contentTypeVersion="12" ma:contentTypeDescription="Ein neues Dokument erstellen." ma:contentTypeScope="" ma:versionID="c643663009ea658263724557241c1cab">
  <xsd:schema xmlns:xsd="http://www.w3.org/2001/XMLSchema" xmlns:xs="http://www.w3.org/2001/XMLSchema" xmlns:p="http://schemas.microsoft.com/office/2006/metadata/properties" xmlns:ns2="4e875dd7-ca93-4f6f-a97a-dbb2251ba46b" xmlns:ns3="a3b0d7ee-1aad-4aad-88ec-e65128201c72" targetNamespace="http://schemas.microsoft.com/office/2006/metadata/properties" ma:root="true" ma:fieldsID="486ac30474757558eb8426a802f15fc1" ns2:_="" ns3:_="">
    <xsd:import namespace="4e875dd7-ca93-4f6f-a97a-dbb2251ba46b"/>
    <xsd:import namespace="a3b0d7ee-1aad-4aad-88ec-e65128201c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875dd7-ca93-4f6f-a97a-dbb2251ba4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9e4ab90c-f363-44a0-abd7-5cd74819f0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0d7ee-1aad-4aad-88ec-e65128201c7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a7d2bfc-85d5-426e-a959-960844be435a}" ma:internalName="TaxCatchAll" ma:showField="CatchAllData" ma:web="a3b0d7ee-1aad-4aad-88ec-e65128201c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a3b0d7ee-1aad-4aad-88ec-e65128201c72"/>
    <ds:schemaRef ds:uri="4e875dd7-ca93-4f6f-a97a-dbb2251ba46b"/>
  </ds:schemaRefs>
</ds:datastoreItem>
</file>

<file path=customXml/itemProps3.xml><?xml version="1.0" encoding="utf-8"?>
<ds:datastoreItem xmlns:ds="http://schemas.openxmlformats.org/officeDocument/2006/customXml" ds:itemID="{10E90B5F-AF37-4399-8DE6-0452B73A4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875dd7-ca93-4f6f-a97a-dbb2251ba46b"/>
    <ds:schemaRef ds:uri="a3b0d7ee-1aad-4aad-88ec-e65128201c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e821cde-48ad-4065-9a7a-ac3e26dfc9d5}" enabled="1" method="Standard" siteId="{763b2760-45c5-46d3-883e-29705bba49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Sylvia Chares</cp:lastModifiedBy>
  <cp:revision/>
  <dcterms:created xsi:type="dcterms:W3CDTF">1996-10-17T05:27:31Z</dcterms:created>
  <dcterms:modified xsi:type="dcterms:W3CDTF">2026-01-22T08:12:03Z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0x0101006D5E88D367F8BC4098A3DA36351F1795</vt:lpwstr>
  </property>
  <property fmtid="{D5CDD505-2E9C-101B-9397-08002B2CF9AE}" pid="3" name="MediaServiceImageTags">
    <vt:lpwstr/>
  </property>
  <property fmtid="{D5CDD505-2E9C-101B-9397-08002B2CF9AE}" pid="4" name="MSIP_Label_ef6012af-2a82-4081-9703-6dfaea38352b_Enabled">
    <vt:lpwstr>true</vt:lpwstr>
  </property>
  <property fmtid="{D5CDD505-2E9C-101B-9397-08002B2CF9AE}" pid="5" name="MSIP_Label_ef6012af-2a82-4081-9703-6dfaea38352b_SetDate">
    <vt:lpwstr>2025-02-02T20:23:25Z</vt:lpwstr>
  </property>
  <property fmtid="{D5CDD505-2E9C-101B-9397-08002B2CF9AE}" pid="6" name="MSIP_Label_ef6012af-2a82-4081-9703-6dfaea38352b_Method">
    <vt:lpwstr>Standard</vt:lpwstr>
  </property>
  <property fmtid="{D5CDD505-2E9C-101B-9397-08002B2CF9AE}" pid="7" name="MSIP_Label_ef6012af-2a82-4081-9703-6dfaea38352b_Name">
    <vt:lpwstr>Confidential</vt:lpwstr>
  </property>
  <property fmtid="{D5CDD505-2E9C-101B-9397-08002B2CF9AE}" pid="8" name="MSIP_Label_ef6012af-2a82-4081-9703-6dfaea38352b_SiteId">
    <vt:lpwstr>40b97eb8-0e2a-4b10-9e5d-5e3d18532f01</vt:lpwstr>
  </property>
  <property fmtid="{D5CDD505-2E9C-101B-9397-08002B2CF9AE}" pid="9" name="MSIP_Label_ef6012af-2a82-4081-9703-6dfaea38352b_ActionId">
    <vt:lpwstr>5c59a5f4-a9da-4d11-95ec-09ff9b04b8ef</vt:lpwstr>
  </property>
  <property fmtid="{D5CDD505-2E9C-101B-9397-08002B2CF9AE}" pid="10" name="MSIP_Label_ef6012af-2a82-4081-9703-6dfaea38352b_ContentBits">
    <vt:lpwstr>0</vt:lpwstr>
  </property>
</Properties>
</file>